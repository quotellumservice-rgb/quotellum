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9d608ff451964a0f" /><ns0:Relationship Id="clariroCore" Type="http://schemas.openxmlformats.org/package/2006/relationships/metadata/core-properties" Target="docProps/core.xml" /><ns0:Relationship Id="clariroExtended" Type="http://schemas.openxmlformats.org/officeDocument/2006/relationships/extended-properties" Target="docProps/app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Quote" sheetId="1" r:id="R8889d12297fc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.00;($#,##0.00);&quot;-&quot;"/>
  </x:numFmts>
  <x:fonts count="6">
    <x:font>
      <x:sz val="11"/>
      <x:name val="Carlito"/>
    </x:font>
    <x:font>
      <x:sz val="11"/>
      <x:color rgb="FF172438"/>
      <x:name val="Arial"/>
    </x:font>
    <x:font>
      <x:b/>
      <x:sz val="16"/>
      <x:color rgb="FF172438"/>
      <x:name val="Arial"/>
    </x:font>
    <x:font>
      <x:b/>
      <x:sz val="11"/>
      <x:color rgb="FFFFFFFF"/>
      <x:name val="Arial"/>
    </x:font>
    <x:font>
      <x:sz val="11"/>
      <x:color rgb="FF1564BB"/>
      <x:name val="Arial"/>
    </x:font>
    <x:font>
      <x:sz val="10"/>
      <x:color rgb="FF17243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438"/>
      </x:patternFill>
    </x:fill>
    <x:fill>
      <x:patternFill patternType="solid">
        <x:fgColor rgb="FFFFF3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bd25977af4572" /><Relationship Type="http://schemas.openxmlformats.org/officeDocument/2006/relationships/theme" Target="/xl/theme/theme1.xml" Id="R1eaeb8cb4bc84fb1" /><Relationship Type="http://schemas.openxmlformats.org/officeDocument/2006/relationships/sharedStrings" Target="/xl/sharedStrings.xml" Id="R4e64620371104e3b" /><Relationship Type="http://schemas.openxmlformats.org/officeDocument/2006/relationships/worksheet" Target="/xl/worksheets/sheet1.xml" Id="R8889d12297fc4d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Clariro Calculator</x:v>
      </x:c>
      <x:c r="B2" s="1"/>
      <x:c r="C2" s="1"/>
      <x:c r="D2" s="1"/>
    </x:row>
    <x:row r="3" ht="24" customHeight="1">
      <x:c r="A3" s="1"/>
      <x:c r="B3" s="1"/>
      <x:c r="C3" s="1"/>
      <x:c r="D3" s="1"/>
    </x:row>
    <x:row r="4" ht="28" customHeight="1">
      <x:c r="A4" s="4" t="str">
        <x:v>Inputs (USD)</x:v>
      </x:c>
      <x:c r="B4" s="4" t="str">
        <x:v>Amount</x:v>
      </x:c>
      <x:c r="C4" s="1"/>
      <x:c r="D4" s="1"/>
    </x:row>
    <x:row r="5" ht="24" customHeight="1">
      <x:c r="A5" s="1" t="str">
        <x:v>Materials</x:v>
      </x:c>
      <x:c r="B5" s="6" t="n">
        <x:v>100</x:v>
      </x:c>
      <x:c r="C5" s="1"/>
      <x:c r="D5" s="1"/>
    </x:row>
    <x:row r="6" ht="24" customHeight="1">
      <x:c r="A6" s="1" t="str">
        <x:v>Hours</x:v>
      </x:c>
      <x:c r="B6" s="6" t="n">
        <x:v>4</x:v>
      </x:c>
      <x:c r="C6" s="1"/>
      <x:c r="D6" s="1"/>
    </x:row>
    <x:row r="7" ht="24" customHeight="1">
      <x:c r="A7" s="1" t="str">
        <x:v>Hourly cost</x:v>
      </x:c>
      <x:c r="B7" s="6" t="n">
        <x:v>25</x:v>
      </x:c>
      <x:c r="C7" s="1"/>
      <x:c r="D7" s="1"/>
    </x:row>
    <x:row r="8" ht="24" customHeight="1">
      <x:c r="A8" s="1" t="str">
        <x:v>Overhead</x:v>
      </x:c>
      <x:c r="B8" s="6" t="n">
        <x:v>20</x:v>
      </x:c>
      <x:c r="C8" s="1"/>
      <x:c r="D8" s="1"/>
    </x:row>
    <x:row r="9" ht="24" customHeight="1">
      <x:c r="A9" s="1" t="str">
        <x:v>Other cost</x:v>
      </x:c>
      <x:c r="B9" s="6" t="n">
        <x:v>0</x:v>
      </x:c>
      <x:c r="C9" s="1"/>
      <x:c r="D9" s="1"/>
    </x:row>
    <x:row r="10" ht="24" customHeight="1">
      <x:c r="A10" s="1" t="str">
        <x:v>Target margin</x:v>
      </x:c>
      <x:c r="B10" s="7" t="n">
        <x:v>0.3</x:v>
      </x:c>
      <x:c r="C10" s="1"/>
      <x:c r="D10" s="1"/>
    </x:row>
    <x:row r="11" ht="24" customHeight="1">
      <x:c r="A11" s="1"/>
      <x:c r="B11" s="1"/>
      <x:c r="C11" s="1"/>
      <x:c r="D11" s="1"/>
    </x:row>
    <x:row r="12" ht="24" customHeight="1">
      <x:c r="A12" s="1" t="str">
        <x:v>Labor cost</x:v>
      </x:c>
      <x:c r="B12" s="8" t="n">
        <x:f>IF(COUNT(B5:B10)&lt;6,"Enter all inputs",ROUND(B6*B7,2))</x:f>
        <x:v>100</x:v>
      </x:c>
      <x:c r="C12" s="1"/>
      <x:c r="D12" s="1"/>
    </x:row>
    <x:row r="13" ht="24" customHeight="1">
      <x:c r="A13" s="1" t="str">
        <x:v>Total delivery cost</x:v>
      </x:c>
      <x:c r="B13" s="8" t="n">
        <x:f>IF(COUNT(B5:B10)&lt;6,"Enter all inputs",ROUND(SUM(B5,B8:B9)+B12,2))</x:f>
        <x:v>220</x:v>
      </x:c>
      <x:c r="C13" s="1"/>
      <x:c r="D13" s="1"/>
    </x:row>
    <x:row r="14" ht="24" customHeight="1">
      <x:c r="A14" s="1" t="str">
        <x:v>Suggested pre-tax quote</x:v>
      </x:c>
      <x:c r="B14" s="8" t="n">
        <x:f>IF(COUNT(B5:B10)&lt;6,"Enter all inputs",IF(OR(MIN(B5:B10)&lt;0,B10&gt;=1),"Invalid input",ROUND(B13/(1-B10),2)))</x:f>
        <x:v>314.29</x:v>
      </x:c>
      <x:c r="C14" s="1"/>
      <x:c r="D14" s="1"/>
    </x:row>
    <x:row r="15" ht="24" customHeight="1">
      <x:c r="A15" s="1" t="str">
        <x:v>Profit before fees</x:v>
      </x:c>
      <x:c r="B15" s="8" t="n">
        <x:f>IF(ISNUMBER(B14),B14-B13,"Unavailable")</x:f>
        <x:v>94.29000000000002</x:v>
      </x:c>
      <x:c r="C15" s="1"/>
      <x:c r="D15" s="1"/>
    </x:row>
    <x:row r="16" ht="24" customHeight="1">
      <x:c r="A16" s="1" t="str">
        <x:v>Margin before fees</x:v>
      </x:c>
      <x:c r="B16" s="9" t="n">
        <x:f>IF(ISNUMBER(B14),IF(B14=0,"n.a.",B15/B14),"Unavailable")</x:f>
        <x:v>0.300009545324382</x:v>
      </x:c>
      <x:c r="C16" s="1"/>
      <x:c r="D16" s="1"/>
    </x:row>
    <x:row r="17" ht="24" customHeight="1">
      <x:c r="A17" s="1"/>
      <x:c r="B17" s="1"/>
      <x:c r="C17" s="1"/>
      <x:c r="D17" s="1"/>
    </x:row>
    <x:row r="18" ht="24" customHeight="1">
      <x:c r="A18" s="1"/>
      <x:c r="B18" s="1"/>
      <x:c r="C18" s="1"/>
      <x:c r="D18" s="1"/>
    </x:row>
    <x:row r="19" ht="24" customHeight="1">
      <x:c r="A19" s="10" t="str">
        <x:v>Example inputs are fictional. Edit amber cells.</x:v>
      </x:c>
      <x:c r="B19" s="1"/>
      <x:c r="C19" s="1"/>
      <x:c r="D19" s="1"/>
    </x:row>
    <x:row r="20" ht="24" customHeight="1">
      <x:c r="A20" s="10" t="str">
        <x:v>Fees, refunds, acquisition, support and tax are excluded.</x:v>
      </x:c>
      <x:c r="B20" s="1"/>
      <x:c r="C20" s="1"/>
      <x:c r="D20" s="1"/>
    </x:row>
    <x:row r="21" ht="24" customHeight="1">
      <x:c r="A21" s="10" t="str">
        <x:v>Use the full package to account for these costs.</x:v>
      </x:c>
      <x:c r="B21" s="1"/>
      <x:c r="C21" s="1"/>
      <x:c r="D21" s="1"/>
    </x:row>
    <x:row r="22" ht="24" customHeight="1">
      <x:c r="A22" s="1"/>
      <x:c r="B22" s="1"/>
      <x:c r="C22" s="1"/>
      <x:c r="D22" s="1"/>
    </x:row>
    <x:row r="23" ht="24" customHeight="1">
      <x:c r="A23" s="1"/>
      <x:c r="B23" s="1"/>
      <x:c r="C23" s="1"/>
      <x:c r="D23" s="1"/>
    </x:row>
    <x:row r="24" ht="24" customHeight="1">
      <x:c r="A24" s="1"/>
      <x:c r="B24" s="1"/>
      <x:c r="C24" s="1"/>
      <x:c r="D24" s="1"/>
    </x:row>
  </x:sheetData>
  <x:dataValidations count="2">
    <x:dataValidation type="decimal" operator="between" sqref="B5:B9">
      <x:formula1>0</x:formula1>
      <x:formula2>1000000</x:formula2>
    </x:dataValidation>
    <x:dataValidation type="decimal" operator="between" sqref="B10">
      <x:formula1>0</x:formula1>
      <x:formula2>0.99</x:formula2>
    </x:dataValidation>
  </x:dataValidation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Clariro Systems</Application>
  <Company>Clariro Systems</Company>
</Properties>
</file>

<file path=docProps/core.xml><?xml version="1.0" encoding="utf-8"?>
<cp:coreProperties xmlns:cp="http://schemas.openxmlformats.org/package/2006/metadata/core-properties" xmlns:dc="http://purl.org/dc/elements/1.1/">
  <dc:title>Clariro Calculator</dc:title>
  <dc:creator>Clariro Systems</dc:creator>
  <dc:subject>Free service quote calculator</dc:subject>
  <dc:description>Clariro Systems free calculator. Fictional USD inputs. Fees, refunds, acquisition, support and tax excluded.</dc:description>
  <cp:lastModifiedBy>Clariro Systems</cp:lastModifiedBy>
</cp:coreProperties>
</file>