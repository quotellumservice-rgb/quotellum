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3cd570870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our job" sheetId="1" r:id="Rc3d047a3b4ca4e9a"/>
    <x:sheet xmlns:r="http://schemas.openxmlformats.org/officeDocument/2006/relationships" name="Worked example" sheetId="2" r:id="Rda67238d077a49b2"/>
    <x:sheet xmlns:r="http://schemas.openxmlformats.org/officeDocument/2006/relationships" name="Scenarios" sheetId="3" r:id="Rda101c6bb67b494a"/>
    <x:sheet xmlns:r="http://schemas.openxmlformats.org/officeDocument/2006/relationships" name="Start here" sheetId="4" r:id="Rc123335bcd434a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.00;(&quot;$&quot;#,##0.00);&quot;$&quot;0.00"/>
    <x:numFmt numFmtId="201" formatCode="0.0%"/>
    <x:numFmt numFmtId="202" formatCode="0.0000"/>
  </x:numFmts>
  <x:fonts count="8">
    <x:font>
      <x:sz val="11"/>
      <x:name val="Carlito"/>
    </x:font>
    <x:font>
      <x:sz val="10"/>
      <x:color rgb="FF172B3A"/>
      <x:name val="Arial"/>
    </x:font>
    <x:font>
      <x:b/>
      <x:sz val="16"/>
      <x:color rgb="FF12364A"/>
      <x:name val="Arial"/>
    </x:font>
    <x:font>
      <x:b/>
      <x:sz val="10"/>
      <x:color rgb="FFFFFFFF"/>
      <x:name val="Arial"/>
    </x:font>
    <x:font>
      <x:sz val="9"/>
      <x:color rgb="FF465966"/>
      <x:name val="Arial"/>
    </x:font>
    <x:font>
      <x:sz val="10"/>
      <x:color rgb="FF1458AD"/>
      <x:name val="Arial"/>
    </x:font>
    <x:font>
      <x:sz val="10"/>
      <x:color rgb="FF176C3A"/>
      <x:name val="Arial"/>
    </x:font>
    <x:font>
      <x:b/>
      <x:sz val="10"/>
      <x:color rgb="FF172B3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D50"/>
      </x:patternFill>
    </x:fill>
    <x:fill>
      <x:patternFill patternType="solid">
        <x:fgColor rgb="FFFFF2C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BE4E4"/>
        </x:patternFill>
      </x:fill>
    </x:dxf>
    <x:dxf>
      <x:font>
        <x:b/>
        <x:color rgb="FF991B1B"/>
      </x:font>
      <x:fill>
        <x:patternFill patternType="solid">
          <x:bgColor rgb="FFFB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8cbd7394f41ba" /><Relationship Type="http://schemas.openxmlformats.org/officeDocument/2006/relationships/theme" Target="/xl/theme/theme1.xml" Id="Raf65f73e8c804bce" /><Relationship Type="http://schemas.openxmlformats.org/officeDocument/2006/relationships/sharedStrings" Target="/xl/sharedStrings.xml" Id="R86145716f9f94fd0" /><Relationship Type="http://schemas.openxmlformats.org/officeDocument/2006/relationships/worksheet" Target="/xl/worksheets/sheet1.xml" Id="Rc3d047a3b4ca4e9a" /><Relationship Type="http://schemas.openxmlformats.org/officeDocument/2006/relationships/worksheet" Target="/xl/worksheets/sheet2.xml" Id="Rda67238d077a49b2" /><Relationship Type="http://schemas.openxmlformats.org/officeDocument/2006/relationships/worksheet" Target="/xl/worksheets/sheet3.xml" Id="Rda101c6bb67b494a" /><Relationship Type="http://schemas.openxmlformats.org/officeDocument/2006/relationships/worksheet" Target="/xl/worksheets/sheet4.xml" Id="Rc123335bcd434a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3" hidden="0" customWidth="1"/>
    <x:col min="3" max="3" width="3" hidden="0" customWidth="1"/>
    <x:col min="4" max="4" width="66" hidden="0" customWidth="1"/>
  </x:cols>
  <x:sheetData>
    <x:row r="1" ht="22" customHeight="1">
      <x:c r="A1" s="2"/>
      <x:c r="B1" s="2"/>
      <x:c r="C1" s="2"/>
      <x:c r="D1" s="2"/>
    </x:row>
    <x:row r="2" ht="30" customHeight="1">
      <x:c r="A2" s="3" t="str">
        <x:v>Clariro Starter Pack</x:v>
      </x:c>
      <x:c r="B2" s="2"/>
      <x:c r="C2" s="2"/>
      <x:c r="D2" s="2"/>
    </x:row>
    <x:row r="3" ht="22" customHeight="1">
      <x:c r="A3" s="2" t="str">
        <x:v>One complete job estimate. Start with the amber inputs below.</x:v>
      </x:c>
      <x:c r="B3" s="2"/>
      <x:c r="C3" s="2"/>
      <x:c r="D3" s="2"/>
    </x:row>
    <x:row r="4" ht="22" customHeight="1">
      <x:c r="A4" s="2"/>
      <x:c r="B4" s="2"/>
      <x:c r="C4" s="2"/>
      <x:c r="D4" s="2"/>
    </x:row>
    <x:row r="5" ht="22" customHeight="1">
      <x:c r="A5" s="5" t="str">
        <x:v>Your estimated result</x:v>
      </x:c>
      <x:c r="B5" s="5"/>
      <x:c r="C5" s="2"/>
      <x:c r="D5" s="2"/>
    </x:row>
    <x:row r="6" ht="22" customHeight="1">
      <x:c r="A6" s="2" t="str">
        <x:v>Customer price after discount</x:v>
      </x:c>
      <x:c r="B6" s="6" t="str">
        <x:f>IF($B$50&lt;&gt;"Ready","Unavailable",ROUND(B36*(1-B37),2))</x:f>
        <x:v>Unavailable</x:v>
      </x:c>
      <x:c r="C6" s="2"/>
      <x:c r="D6" s="2" t="str">
        <x:v>Estimates from your assumptions. Sales tax and omitted costs are excluded.</x:v>
      </x:c>
    </x:row>
    <x:row r="7" ht="22" customHeight="1">
      <x:c r="A7" s="2" t="str">
        <x:v>Estimated total costs</x:v>
      </x:c>
      <x:c r="B7" s="6" t="str">
        <x:f>IF($B$50&lt;&gt;"Ready","Unavailable",ROUND(B46+B47+B40+B48,2))</x:f>
        <x:v>Unavailable</x:v>
      </x:c>
      <x:c r="C7" s="2"/>
      <x:c r="D7" s="2"/>
    </x:row>
    <x:row r="8" ht="22" customHeight="1">
      <x:c r="A8" s="2" t="str">
        <x:v>Estimated remaining amount</x:v>
      </x:c>
      <x:c r="B8" s="6" t="str">
        <x:f>IF($B$50&lt;&gt;"Ready","Unavailable",ROUND(B6-B7,2))</x:f>
        <x:v>Unavailable</x:v>
      </x:c>
      <x:c r="C8" s="2"/>
      <x:c r="D8" s="2" t="str">
        <x:v>Remaining is after modeled labor. It is not guaranteed business profit.</x:v>
      </x:c>
    </x:row>
    <x:row r="9" ht="22" customHeight="1">
      <x:c r="A9" s="2" t="str">
        <x:v>Estimated remaining margin</x:v>
      </x:c>
      <x:c r="B9" s="7" t="str">
        <x:f>IF($B$50&lt;&gt;"Ready","Unavailable",IF(B6=0,"n.a.",B8/B6))</x:f>
        <x:v>Unavailable</x:v>
      </x:c>
      <x:c r="C9" s="2"/>
      <x:c r="D9" s="2"/>
    </x:row>
    <x:row r="10" ht="22" customHeight="1">
      <x:c r="A10" s="2" t="str">
        <x:v>Remaining per modeled hour</x:v>
      </x:c>
      <x:c r="B10" s="6" t="str">
        <x:f>IF($B$50&lt;&gt;"Ready","Unavailable",IF(B44=0,"n.a.",B8/B44))</x:f>
        <x:v>Unavailable</x:v>
      </x:c>
      <x:c r="C10" s="2"/>
      <x:c r="D10" s="2" t="str">
        <x:v>This is not hourly pay: labor cost has already been deducted.</x:v>
      </x:c>
    </x:row>
    <x:row r="11" ht="22" customHeight="1">
      <x:c r="A11" s="2" t="str">
        <x:v>Modeled break-even price</x:v>
      </x:c>
      <x:c r="B11" s="6" t="str">
        <x:f>IF($B$50&lt;&gt;"Ready","Unavailable",ROUNDUP((B46+B40)/(1-B39-B41),2))</x:f>
        <x:v>Unavailable</x:v>
      </x:c>
      <x:c r="C11" s="2"/>
      <x:c r="D11" s="2"/>
    </x:row>
    <x:row r="12" ht="22" customHeight="1">
      <x:c r="A12" s="2" t="str">
        <x:v>Minimum price for your goal</x:v>
      </x:c>
      <x:c r="B12" s="6" t="str">
        <x:f>IF($B$50&lt;&gt;"Ready","Unavailable",ROUNDUP((B46+B40)/(1-B38-B39-B41),2))</x:f>
        <x:v>Unavailable</x:v>
      </x:c>
      <x:c r="C12" s="2"/>
      <x:c r="D12" s="2" t="str">
        <x:v>Fees/reserve are excluded unless entered. Check final rounding and tax separately.</x:v>
      </x:c>
    </x:row>
    <x:row r="13" ht="34" customHeight="1">
      <x:c r="A13" s="2" t="str">
        <x:v>Before you quote</x:v>
      </x:c>
      <x:c r="B13" s="8" t="str">
        <x:f>IF(B50&lt;&gt;"Ready",B50,IF(B8&lt;0,"Price may not cover costs",IF(B6&lt;B12,"Review before quoting","Strong starting point")))</x:f>
        <x:v>More information is needed</x:v>
      </x:c>
      <x:c r="C13" s="2"/>
      <x:c r="D13" s="2"/>
    </x:row>
    <x:row r="14" ht="22" customHeight="1">
      <x:c r="A14" s="2"/>
      <x:c r="B14" s="2"/>
      <x:c r="C14" s="2"/>
      <x:c r="D14" s="2"/>
    </x:row>
    <x:row r="15" ht="22" customHeight="1">
      <x:c r="A15" s="2"/>
      <x:c r="B15" s="2"/>
      <x:c r="C15" s="2"/>
      <x:c r="D15" s="2"/>
    </x:row>
    <x:row r="16" ht="22" customHeight="1">
      <x:c r="A16" s="2"/>
      <x:c r="B16" s="2"/>
      <x:c r="C16" s="2"/>
      <x:c r="D16" s="2"/>
    </x:row>
    <x:row r="17" ht="22" customHeight="1">
      <x:c r="A17" s="2"/>
      <x:c r="B17" s="2"/>
      <x:c r="C17" s="2"/>
      <x:c r="D17" s="2"/>
    </x:row>
    <x:row r="18" ht="22" customHeight="1">
      <x:c r="A18" s="5" t="str">
        <x:v>1. Job details</x:v>
      </x:c>
      <x:c r="B18" s="5"/>
      <x:c r="C18" s="2"/>
      <x:c r="D18" s="2"/>
    </x:row>
    <x:row r="19" ht="22" customHeight="1">
      <x:c r="A19" s="2"/>
      <x:c r="B19" s="2"/>
      <x:c r="C19" s="2"/>
      <x:c r="D19" s="2"/>
    </x:row>
    <x:row r="20" ht="28" customHeight="1">
      <x:c r="A20" s="2" t="str">
        <x:v>Job name</x:v>
      </x:c>
      <x:c r="B20" s="12"/>
      <x:c r="C20" s="2"/>
      <x:c r="D20" s="10" t="str">
        <x:v>A label for your own use. Keep client details private.</x:v>
      </x:c>
    </x:row>
    <x:row r="21" ht="28" customHeight="1">
      <x:c r="A21" s="2" t="str">
        <x:v>Type of work (optional)</x:v>
      </x:c>
      <x:c r="B21" s="12"/>
      <x:c r="C21" s="2"/>
      <x:c r="D21" s="10" t="str">
        <x:v>For example: freelance design or technical setup.</x:v>
      </x:c>
    </x:row>
    <x:row r="22" ht="34" customHeight="1">
      <x:c r="A22" s="2" t="str">
        <x:v>Payment timing (optional)</x:v>
      </x:c>
      <x:c r="B22" s="12"/>
      <x:c r="C22" s="2"/>
      <x:c r="D22" s="10" t="str">
        <x:v>For example: 50% deposit, balance after acceptance. No cash forecast is calculated.</x:v>
      </x:c>
    </x:row>
    <x:row r="23" ht="22" customHeight="1">
      <x:c r="A23" s="2"/>
      <x:c r="B23" s="2"/>
      <x:c r="C23" s="2"/>
      <x:c r="D23" s="2"/>
    </x:row>
    <x:row r="24" ht="22" customHeight="1">
      <x:c r="A24" s="5" t="str">
        <x:v>2. Your time</x:v>
      </x:c>
      <x:c r="B24" s="5"/>
      <x:c r="C24" s="2"/>
      <x:c r="D24" s="2"/>
    </x:row>
    <x:row r="25" ht="28" customHeight="1">
      <x:c r="A25" s="2" t="str">
        <x:v>Job hours</x:v>
      </x:c>
      <x:c r="B25" s="13"/>
      <x:c r="C25" s="2"/>
      <x:c r="D25" s="10" t="str">
        <x:v>Include delivery time. Use up to four decimal places.</x:v>
      </x:c>
    </x:row>
    <x:row r="26" ht="34" customHeight="1">
      <x:c r="A26" s="2" t="str">
        <x:v>Travel / meetings / admin hours</x:v>
      </x:c>
      <x:c r="B26" s="13" t="n">
        <x:v>0</x:v>
      </x:c>
      <x:c r="C26" s="2"/>
      <x:c r="D26" s="10" t="str">
        <x:v>Optional additional time at the same hourly cost. Avoid counting time twice.</x:v>
      </x:c>
    </x:row>
    <x:row r="27" ht="28" customHeight="1">
      <x:c r="A27" s="2" t="str">
        <x:v>Contingency hours</x:v>
      </x:c>
      <x:c r="B27" s="13" t="n">
        <x:v>0</x:v>
      </x:c>
      <x:c r="C27" s="2"/>
      <x:c r="D27" s="10" t="str">
        <x:v>Optional time allowance for uncertainty.</x:v>
      </x:c>
    </x:row>
    <x:row r="28" ht="28" customHeight="1">
      <x:c r="A28" s="2" t="str">
        <x:v>Hourly cost ($)</x:v>
      </x:c>
      <x:c r="B28" s="15"/>
      <x:c r="C28" s="2"/>
      <x:c r="D28" s="10" t="str">
        <x:v>Cost of your time, not the price you bill the customer.</x:v>
      </x:c>
    </x:row>
    <x:row r="29" ht="22" customHeight="1">
      <x:c r="A29" s="2"/>
      <x:c r="B29" s="2"/>
      <x:c r="C29" s="2"/>
      <x:c r="D29" s="2"/>
    </x:row>
    <x:row r="30" ht="22" customHeight="1">
      <x:c r="A30" s="5" t="str">
        <x:v>3. Costs and price</x:v>
      </x:c>
      <x:c r="B30" s="5"/>
      <x:c r="C30" s="2"/>
      <x:c r="D30" s="2"/>
    </x:row>
    <x:row r="31" ht="28" customHeight="1">
      <x:c r="A31" s="2" t="str">
        <x:v>Materials / direct costs ($)</x:v>
      </x:c>
      <x:c r="B31" s="15"/>
      <x:c r="C31" s="2"/>
      <x:c r="D31" s="10" t="str">
        <x:v>Enter 0 if none. Include only costs not entered below.</x:v>
      </x:c>
    </x:row>
    <x:row r="32" ht="34" customHeight="1">
      <x:c r="A32" s="2" t="str">
        <x:v>Helpers / subcontractors ($)</x:v>
      </x:c>
      <x:c r="B32" s="15" t="n">
        <x:v>0</x:v>
      </x:c>
      <x:c r="C32" s="2"/>
      <x:c r="D32" s="10" t="str">
        <x:v>Optional external cost. Do not also count their time as your own labor.</x:v>
      </x:c>
    </x:row>
    <x:row r="33" ht="28" customHeight="1">
      <x:c r="A33" s="2" t="str">
        <x:v>Travel expenses ($)</x:v>
      </x:c>
      <x:c r="B33" s="15" t="n">
        <x:v>0</x:v>
      </x:c>
      <x:c r="C33" s="2"/>
      <x:c r="D33" s="10" t="str">
        <x:v>Optional fares, mileage cost or accommodation, excluding hours above.</x:v>
      </x:c>
    </x:row>
    <x:row r="34" ht="28" customHeight="1">
      <x:c r="A34" s="2" t="str">
        <x:v>Equipment / software / other ($)</x:v>
      </x:c>
      <x:c r="B34" s="15" t="n">
        <x:v>0</x:v>
      </x:c>
      <x:c r="C34" s="2"/>
      <x:c r="D34" s="10" t="str">
        <x:v>Optional job-specific costs not counted elsewhere.</x:v>
      </x:c>
    </x:row>
    <x:row r="35" ht="34" customHeight="1">
      <x:c r="A35" s="2" t="str">
        <x:v>Business costs for this job ($)</x:v>
      </x:c>
      <x:c r="B35" s="15" t="n">
        <x:v>0</x:v>
      </x:c>
      <x:c r="C35" s="2"/>
      <x:c r="D35" s="10" t="str">
        <x:v>Optional allocated operating costs. Keep your allocation reasonable and consistent.</x:v>
      </x:c>
    </x:row>
    <x:row r="36" ht="28" customHeight="1">
      <x:c r="A36" s="2" t="str">
        <x:v>Planned customer price ($)</x:v>
      </x:c>
      <x:c r="B36" s="15"/>
      <x:c r="C36" s="2"/>
      <x:c r="D36" s="10" t="str">
        <x:v>Before sales tax and before the optional discount below.</x:v>
      </x:c>
    </x:row>
    <x:row r="37" ht="28" customHeight="1">
      <x:c r="A37" s="2" t="str">
        <x:v>Discount (%)</x:v>
      </x:c>
      <x:c r="B37" s="14" t="n">
        <x:v>0</x:v>
      </x:c>
      <x:c r="C37" s="2"/>
      <x:c r="D37" s="10" t="str">
        <x:v>Optional percentage reduction of the planned price.</x:v>
      </x:c>
    </x:row>
    <x:row r="38" ht="34" customHeight="1">
      <x:c r="A38" s="2" t="str">
        <x:v>Target remaining margin (%)</x:v>
      </x:c>
      <x:c r="B38" s="14" t="n">
        <x:v>0.3</x:v>
      </x:c>
      <x:c r="C38" s="2"/>
      <x:c r="D38" s="10" t="str">
        <x:v>Goal: remaining amount divided by price. Default 30%; change it to your own goal.</x:v>
      </x:c>
    </x:row>
    <x:row r="39" ht="28" customHeight="1">
      <x:c r="A39" s="2" t="str">
        <x:v>Processing fee (%)</x:v>
      </x:c>
      <x:c r="B39" s="14" t="n">
        <x:v>0</x:v>
      </x:c>
      <x:c r="C39" s="2"/>
      <x:c r="D39" s="10" t="str">
        <x:v>Optional actual fee assumption. 0 means excluded. Not a quoted provider fee.</x:v>
      </x:c>
    </x:row>
    <x:row r="40" ht="28" customHeight="1">
      <x:c r="A40" s="2" t="str">
        <x:v>Fixed processing fee ($)</x:v>
      </x:c>
      <x:c r="B40" s="15" t="n">
        <x:v>0</x:v>
      </x:c>
      <x:c r="C40" s="2"/>
      <x:c r="D40" s="10" t="str">
        <x:v>Optional fee per payment modeled once for this job.</x:v>
      </x:c>
    </x:row>
    <x:row r="41" ht="34" customHeight="1">
      <x:c r="A41" s="2" t="str">
        <x:v>Planning reserve (%)</x:v>
      </x:c>
      <x:c r="B41" s="14" t="n">
        <x:v>0</x:v>
      </x:c>
      <x:c r="C41" s="2"/>
      <x:c r="D41" s="10" t="str">
        <x:v>Optional allowance, not actual tax due or an actual refund. Do not deduct it twice.</x:v>
      </x:c>
    </x:row>
    <x:row r="42" ht="34" customHeight="1">
      <x:c r="A42" s="2" t="str">
        <x:v>Planned deposit ($)</x:v>
      </x:c>
      <x:c r="B42" s="15" t="n">
        <x:v>0</x:v>
      </x:c>
      <x:c r="C42" s="2"/>
      <x:c r="D42" s="10" t="str">
        <x:v>Optional cash-timing note only; it does not increase revenue or reduce costs.</x:v>
      </x:c>
    </x:row>
    <x:row r="43" ht="22" customHeight="1">
      <x:c r="A43" s="5" t="str">
        <x:v>Calculation trail</x:v>
      </x:c>
      <x:c r="B43" s="5"/>
      <x:c r="C43" s="2"/>
      <x:c r="D43" s="2"/>
    </x:row>
    <x:row r="44" ht="22" customHeight="1">
      <x:c r="A44" s="2" t="str">
        <x:v>Total modeled hours</x:v>
      </x:c>
      <x:c r="B44" s="16" t="str">
        <x:f>IF($B$50&lt;&gt;"Ready","Unavailable",SUM(B25:B27))</x:f>
        <x:v>Unavailable</x:v>
      </x:c>
      <x:c r="C44" s="2"/>
      <x:c r="D44" s="2"/>
    </x:row>
    <x:row r="45" ht="22" customHeight="1">
      <x:c r="A45" s="2" t="str">
        <x:v>Modeled labor cost</x:v>
      </x:c>
      <x:c r="B45" s="6" t="str">
        <x:f>IF($B$50&lt;&gt;"Ready","Unavailable",ROUND(B44*B28,2))</x:f>
        <x:v>Unavailable</x:v>
      </x:c>
      <x:c r="C45" s="2"/>
      <x:c r="D45" s="2"/>
    </x:row>
    <x:row r="46" ht="22" customHeight="1">
      <x:c r="A46" s="2" t="str">
        <x:v>Delivery costs before fees/reserve</x:v>
      </x:c>
      <x:c r="B46" s="6" t="str">
        <x:f>IF($B$50&lt;&gt;"Ready","Unavailable",ROUND(SUM(B31:B35)+B45,2))</x:f>
        <x:v>Unavailable</x:v>
      </x:c>
      <x:c r="C46" s="2"/>
      <x:c r="D46" s="2"/>
    </x:row>
    <x:row r="47" ht="22" customHeight="1">
      <x:c r="A47" s="2" t="str">
        <x:v>Percentage fee allowance</x:v>
      </x:c>
      <x:c r="B47" s="6" t="str">
        <x:f>IF($B$50&lt;&gt;"Ready","Unavailable",ROUND(B6*B39,2))</x:f>
        <x:v>Unavailable</x:v>
      </x:c>
      <x:c r="C47" s="2"/>
      <x:c r="D47" s="2"/>
    </x:row>
    <x:row r="48" ht="22" customHeight="1">
      <x:c r="A48" s="2" t="str">
        <x:v>Planning reserve allowance</x:v>
      </x:c>
      <x:c r="B48" s="6" t="str">
        <x:f>IF($B$50&lt;&gt;"Ready","Unavailable",ROUND(B6*B41,2))</x:f>
        <x:v>Unavailable</x:v>
      </x:c>
      <x:c r="C48" s="2"/>
      <x:c r="D48" s="2"/>
    </x:row>
    <x:row r="49" ht="22" customHeight="1">
      <x:c r="A49" s="2" t="str">
        <x:v>Deposit note (not a cost)</x:v>
      </x:c>
      <x:c r="B49" s="6" t="str">
        <x:f>IF(B50&lt;&gt;"Ready","Unavailable",IF(B42&gt;B6,"Deposit exceeds price",B42))</x:f>
        <x:v>Unavailable</x:v>
      </x:c>
      <x:c r="C49" s="2"/>
      <x:c r="D49" s="2"/>
    </x:row>
    <x:row r="50" ht="22" customHeight="1">
      <x:c r="A50" s="2" t="str">
        <x:v>Input check</x:v>
      </x:c>
      <x:c r="B50" s="2" t="str">
        <x:f>IF(OR(B20="",COUNT(B25,B28,B31,B36,B38)&lt;5),"More information is needed",IF(COUNT(B25:B28,B31:B42)&lt;&gt;COUNTA(B25:B28,B31:B42),"Invalid numeric input",IF(OR(MIN(B25:B28,B31:B42)&lt;0,B37&gt;=1,B38+B39+B41&gt;=1),"Invalid assumptions","Ready")))</x:f>
        <x:v>More information is needed</x:v>
      </x:c>
      <x:c r="C50" s="2"/>
      <x:c r="D50" s="2" t="str">
        <x:v>Blank required fields are unavailable; explicit zero is valid.</x:v>
      </x:c>
    </x:row>
    <x:row r="51" ht="22" customHeight="1">
      <x:c r="A51" s="2"/>
      <x:c r="B51" s="2"/>
      <x:c r="C51" s="2"/>
      <x:c r="D51" s="2"/>
    </x:row>
    <x:row r="52" ht="22" customHeight="1">
      <x:c r="A52" s="2"/>
      <x:c r="B52" s="2"/>
      <x:c r="C52" s="2"/>
      <x:c r="D52" s="2"/>
    </x:row>
  </x:sheetData>
  <x:conditionalFormatting sqref="B8:B8">
    <x:cfRule type="cellIs" dxfId="0" priority="1" operator="lessThan">
      <x:formula>0</x:formula>
    </x:cfRule>
  </x:conditionalFormatting>
  <x:dataValidations count="16">
    <x:dataValidation type="decimal" operator="between" sqref="B25">
      <x:formula1>0</x:formula1>
      <x:formula2>1000000</x:formula2>
    </x:dataValidation>
    <x:dataValidation type="decimal" operator="between" sqref="B26">
      <x:formula1>0</x:formula1>
      <x:formula2>1000000</x:formula2>
    </x:dataValidation>
    <x:dataValidation type="decimal" operator="between" sqref="B27">
      <x:formula1>0</x:formula1>
      <x:formula2>1000000</x:formula2>
    </x:dataValidation>
    <x:dataValidation type="decimal" operator="between" sqref="B28">
      <x:formula1>0</x:formula1>
      <x:formula2>1000000</x:formula2>
    </x:dataValidation>
    <x:dataValidation type="decimal" operator="between" sqref="B31">
      <x:formula1>0</x:formula1>
      <x:formula2>1000000</x:formula2>
    </x:dataValidation>
    <x:dataValidation type="decimal" operator="between" sqref="B32">
      <x:formula1>0</x:formula1>
      <x:formula2>1000000</x:formula2>
    </x:dataValidation>
    <x:dataValidation type="decimal" operator="between" sqref="B33">
      <x:formula1>0</x:formula1>
      <x:formula2>1000000</x:formula2>
    </x:dataValidation>
    <x:dataValidation type="decimal" operator="between" sqref="B34">
      <x:formula1>0</x:formula1>
      <x:formula2>1000000</x:formula2>
    </x:dataValidation>
    <x:dataValidation type="decimal" operator="between" sqref="B35">
      <x:formula1>0</x:formula1>
      <x:formula2>1000000</x:formula2>
    </x:dataValidation>
    <x:dataValidation type="decimal" operator="between" sqref="B36">
      <x:formula1>0</x:formula1>
      <x:formula2>1000000</x:formula2>
    </x:dataValidation>
    <x:dataValidation type="decimal" operator="between" sqref="B40">
      <x:formula1>0</x:formula1>
      <x:formula2>1000000</x:formula2>
    </x:dataValidation>
    <x:dataValidation type="decimal" operator="between" sqref="B42">
      <x:formula1>0</x:formula1>
      <x:formula2>1000000</x:formula2>
    </x:dataValidation>
    <x:dataValidation type="decimal" operator="between" sqref="B37">
      <x:formula1>0</x:formula1>
      <x:formula2>0.9999</x:formula2>
    </x:dataValidation>
    <x:dataValidation type="decimal" operator="between" sqref="B38">
      <x:formula1>0</x:formula1>
      <x:formula2>0.9999</x:formula2>
    </x:dataValidation>
    <x:dataValidation type="decimal" operator="between" sqref="B39">
      <x:formula1>0</x:formula1>
      <x:formula2>0.9999</x:formula2>
    </x:dataValidation>
    <x:dataValidation type="decimal" operator="between" sqref="B41">
      <x:formula1>0</x:formula1>
      <x:formula2>0.9999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3" hidden="0" customWidth="1"/>
    <x:col min="3" max="3" width="3" hidden="0" customWidth="1"/>
    <x:col min="4" max="4" width="66" hidden="0" customWidth="1"/>
  </x:cols>
  <x:sheetData>
    <x:row r="1" ht="22" customHeight="1">
      <x:c r="A1" s="2"/>
      <x:c r="B1" s="2"/>
      <x:c r="C1" s="2"/>
      <x:c r="D1" s="2"/>
    </x:row>
    <x:row r="2" ht="30" customHeight="1">
      <x:c r="A2" s="3" t="str">
        <x:v>Clariro fictional example</x:v>
      </x:c>
      <x:c r="B2" s="2"/>
      <x:c r="C2" s="2"/>
      <x:c r="D2" s="2"/>
    </x:row>
    <x:row r="3" ht="22" customHeight="1">
      <x:c r="A3" s="2" t="str">
        <x:v>Fictional service job. Change a working copy to learn.</x:v>
      </x:c>
      <x:c r="B3" s="2"/>
      <x:c r="C3" s="2"/>
      <x:c r="D3" s="2"/>
    </x:row>
    <x:row r="4" ht="22" customHeight="1">
      <x:c r="A4" s="2"/>
      <x:c r="B4" s="2"/>
      <x:c r="C4" s="2"/>
      <x:c r="D4" s="2"/>
    </x:row>
    <x:row r="5" ht="22" customHeight="1">
      <x:c r="A5" s="5" t="str">
        <x:v>Your estimated result</x:v>
      </x:c>
      <x:c r="B5" s="5"/>
      <x:c r="C5" s="2"/>
      <x:c r="D5" s="2"/>
    </x:row>
    <x:row r="6" ht="22" customHeight="1">
      <x:c r="A6" s="2" t="str">
        <x:v>Customer price after discount</x:v>
      </x:c>
      <x:c r="B6" s="6" t="n">
        <x:f>IF($B$50&lt;&gt;"Ready","Unavailable",ROUND(B36*(1-B37),2))</x:f>
        <x:v>350</x:v>
      </x:c>
      <x:c r="C6" s="2"/>
      <x:c r="D6" s="2" t="str">
        <x:v>Estimates from your assumptions. Sales tax and omitted costs are excluded.</x:v>
      </x:c>
    </x:row>
    <x:row r="7" ht="22" customHeight="1">
      <x:c r="A7" s="2" t="str">
        <x:v>Estimated total costs</x:v>
      </x:c>
      <x:c r="B7" s="6" t="n">
        <x:f>IF($B$50&lt;&gt;"Ready","Unavailable",ROUND(B46+B47+B40+B48,2))</x:f>
        <x:v>220</x:v>
      </x:c>
      <x:c r="C7" s="2"/>
      <x:c r="D7" s="2"/>
    </x:row>
    <x:row r="8" ht="22" customHeight="1">
      <x:c r="A8" s="2" t="str">
        <x:v>Estimated remaining amount</x:v>
      </x:c>
      <x:c r="B8" s="6" t="n">
        <x:f>IF($B$50&lt;&gt;"Ready","Unavailable",ROUND(B6-B7,2))</x:f>
        <x:v>130</x:v>
      </x:c>
      <x:c r="C8" s="2"/>
      <x:c r="D8" s="2" t="str">
        <x:v>Remaining is after modeled labor. It is not guaranteed business profit.</x:v>
      </x:c>
    </x:row>
    <x:row r="9" ht="22" customHeight="1">
      <x:c r="A9" s="2" t="str">
        <x:v>Estimated remaining margin</x:v>
      </x:c>
      <x:c r="B9" s="7" t="n">
        <x:f>IF($B$50&lt;&gt;"Ready","Unavailable",IF(B6=0,"n.a.",B8/B6))</x:f>
        <x:v>0.37142857142857144</x:v>
      </x:c>
      <x:c r="C9" s="2"/>
      <x:c r="D9" s="2"/>
    </x:row>
    <x:row r="10" ht="22" customHeight="1">
      <x:c r="A10" s="2" t="str">
        <x:v>Remaining per modeled hour</x:v>
      </x:c>
      <x:c r="B10" s="6" t="n">
        <x:f>IF($B$50&lt;&gt;"Ready","Unavailable",IF(B44=0,"n.a.",B8/B44))</x:f>
        <x:v>32.5</x:v>
      </x:c>
      <x:c r="C10" s="2"/>
      <x:c r="D10" s="2" t="str">
        <x:v>This is not hourly pay: labor cost has already been deducted.</x:v>
      </x:c>
    </x:row>
    <x:row r="11" ht="22" customHeight="1">
      <x:c r="A11" s="2" t="str">
        <x:v>Modeled break-even price</x:v>
      </x:c>
      <x:c r="B11" s="6" t="n">
        <x:f>IF($B$50&lt;&gt;"Ready","Unavailable",ROUNDUP((B46+B40)/(1-B39-B41),2))</x:f>
        <x:v>220</x:v>
      </x:c>
      <x:c r="C11" s="2"/>
      <x:c r="D11" s="2"/>
    </x:row>
    <x:row r="12" ht="22" customHeight="1">
      <x:c r="A12" s="2" t="str">
        <x:v>Minimum price for your goal</x:v>
      </x:c>
      <x:c r="B12" s="6" t="n">
        <x:f>IF($B$50&lt;&gt;"Ready","Unavailable",ROUNDUP((B46+B40)/(1-B38-B39-B41),2))</x:f>
        <x:v>314.29</x:v>
      </x:c>
      <x:c r="C12" s="2"/>
      <x:c r="D12" s="2" t="str">
        <x:v>Fees/reserve are excluded unless entered. Check final rounding and tax separately.</x:v>
      </x:c>
    </x:row>
    <x:row r="13" ht="34" customHeight="1">
      <x:c r="A13" s="2" t="str">
        <x:v>Before you quote</x:v>
      </x:c>
      <x:c r="B13" s="8" t="str">
        <x:f>IF(B50&lt;&gt;"Ready",B50,IF(B8&lt;0,"Price may not cover costs",IF(B6&lt;B12,"Review before quoting","Strong starting point")))</x:f>
        <x:v>Strong starting point</x:v>
      </x:c>
      <x:c r="C13" s="2"/>
      <x:c r="D13" s="2"/>
    </x:row>
    <x:row r="14" ht="22" customHeight="1">
      <x:c r="A14" s="2"/>
      <x:c r="B14" s="2"/>
      <x:c r="C14" s="2"/>
      <x:c r="D14" s="2"/>
    </x:row>
    <x:row r="15" ht="22" customHeight="1">
      <x:c r="A15" s="2"/>
      <x:c r="B15" s="2"/>
      <x:c r="C15" s="2"/>
      <x:c r="D15" s="2"/>
    </x:row>
    <x:row r="16" ht="22" customHeight="1">
      <x:c r="A16" s="2"/>
      <x:c r="B16" s="2"/>
      <x:c r="C16" s="2"/>
      <x:c r="D16" s="2"/>
    </x:row>
    <x:row r="17" ht="22" customHeight="1">
      <x:c r="A17" s="2"/>
      <x:c r="B17" s="2"/>
      <x:c r="C17" s="2"/>
      <x:c r="D17" s="2"/>
    </x:row>
    <x:row r="18" ht="22" customHeight="1">
      <x:c r="A18" s="5" t="str">
        <x:v>1. Job details</x:v>
      </x:c>
      <x:c r="B18" s="5"/>
      <x:c r="C18" s="2"/>
      <x:c r="D18" s="2"/>
    </x:row>
    <x:row r="19" ht="22" customHeight="1">
      <x:c r="A19" s="2"/>
      <x:c r="B19" s="2"/>
      <x:c r="C19" s="2"/>
      <x:c r="D19" s="2"/>
    </x:row>
    <x:row r="20" ht="28" customHeight="1">
      <x:c r="A20" s="2" t="str">
        <x:v>Job name</x:v>
      </x:c>
      <x:c r="B20" s="12" t="str">
        <x:v>Fictional website setup</x:v>
      </x:c>
      <x:c r="C20" s="2"/>
      <x:c r="D20" s="10" t="str">
        <x:v>A label for your own use. Keep client details private.</x:v>
      </x:c>
    </x:row>
    <x:row r="21" ht="28" customHeight="1">
      <x:c r="A21" s="2" t="str">
        <x:v>Type of work (optional)</x:v>
      </x:c>
      <x:c r="B21" s="12" t="str">
        <x:v>Freelance service</x:v>
      </x:c>
      <x:c r="C21" s="2"/>
      <x:c r="D21" s="10" t="str">
        <x:v>For example: freelance design or technical setup.</x:v>
      </x:c>
    </x:row>
    <x:row r="22" ht="34" customHeight="1">
      <x:c r="A22" s="2" t="str">
        <x:v>Payment timing (optional)</x:v>
      </x:c>
      <x:c r="B22" s="12" t="str">
        <x:v>50% deposit; balance on acceptance</x:v>
      </x:c>
      <x:c r="C22" s="2"/>
      <x:c r="D22" s="10" t="str">
        <x:v>For example: 50% deposit, balance after acceptance. No cash forecast is calculated.</x:v>
      </x:c>
    </x:row>
    <x:row r="23" ht="22" customHeight="1">
      <x:c r="A23" s="2"/>
      <x:c r="B23" s="2"/>
      <x:c r="C23" s="2"/>
      <x:c r="D23" s="2"/>
    </x:row>
    <x:row r="24" ht="22" customHeight="1">
      <x:c r="A24" s="5" t="str">
        <x:v>2. Your time</x:v>
      </x:c>
      <x:c r="B24" s="5"/>
      <x:c r="C24" s="2"/>
      <x:c r="D24" s="2"/>
    </x:row>
    <x:row r="25" ht="28" customHeight="1">
      <x:c r="A25" s="2" t="str">
        <x:v>Job hours</x:v>
      </x:c>
      <x:c r="B25" s="13" t="n">
        <x:v>4</x:v>
      </x:c>
      <x:c r="C25" s="2"/>
      <x:c r="D25" s="10" t="str">
        <x:v>Include delivery time. Use up to four decimal places.</x:v>
      </x:c>
    </x:row>
    <x:row r="26" ht="34" customHeight="1">
      <x:c r="A26" s="2" t="str">
        <x:v>Travel / meetings / admin hours</x:v>
      </x:c>
      <x:c r="B26" s="13" t="n">
        <x:v>0</x:v>
      </x:c>
      <x:c r="C26" s="2"/>
      <x:c r="D26" s="10" t="str">
        <x:v>Optional additional time at the same hourly cost. Avoid counting time twice.</x:v>
      </x:c>
    </x:row>
    <x:row r="27" ht="28" customHeight="1">
      <x:c r="A27" s="2" t="str">
        <x:v>Contingency hours</x:v>
      </x:c>
      <x:c r="B27" s="13" t="n">
        <x:v>0</x:v>
      </x:c>
      <x:c r="C27" s="2"/>
      <x:c r="D27" s="10" t="str">
        <x:v>Optional time allowance for uncertainty.</x:v>
      </x:c>
    </x:row>
    <x:row r="28" ht="28" customHeight="1">
      <x:c r="A28" s="2" t="str">
        <x:v>Hourly cost ($)</x:v>
      </x:c>
      <x:c r="B28" s="15" t="n">
        <x:v>25</x:v>
      </x:c>
      <x:c r="C28" s="2"/>
      <x:c r="D28" s="10" t="str">
        <x:v>Cost of your time, not the price you bill the customer.</x:v>
      </x:c>
    </x:row>
    <x:row r="29" ht="22" customHeight="1">
      <x:c r="A29" s="2"/>
      <x:c r="B29" s="2"/>
      <x:c r="C29" s="2"/>
      <x:c r="D29" s="2"/>
    </x:row>
    <x:row r="30" ht="22" customHeight="1">
      <x:c r="A30" s="5" t="str">
        <x:v>3. Costs and price</x:v>
      </x:c>
      <x:c r="B30" s="5"/>
      <x:c r="C30" s="2"/>
      <x:c r="D30" s="2"/>
    </x:row>
    <x:row r="31" ht="28" customHeight="1">
      <x:c r="A31" s="2" t="str">
        <x:v>Materials / direct costs ($)</x:v>
      </x:c>
      <x:c r="B31" s="15" t="n">
        <x:v>100</x:v>
      </x:c>
      <x:c r="C31" s="2"/>
      <x:c r="D31" s="10" t="str">
        <x:v>Enter 0 if none. Include only costs not entered below.</x:v>
      </x:c>
    </x:row>
    <x:row r="32" ht="34" customHeight="1">
      <x:c r="A32" s="2" t="str">
        <x:v>Helpers / subcontractors ($)</x:v>
      </x:c>
      <x:c r="B32" s="15" t="n">
        <x:v>0</x:v>
      </x:c>
      <x:c r="C32" s="2"/>
      <x:c r="D32" s="10" t="str">
        <x:v>Optional external cost. Do not also count their time as your own labor.</x:v>
      </x:c>
    </x:row>
    <x:row r="33" ht="28" customHeight="1">
      <x:c r="A33" s="2" t="str">
        <x:v>Travel expenses ($)</x:v>
      </x:c>
      <x:c r="B33" s="15" t="n">
        <x:v>0</x:v>
      </x:c>
      <x:c r="C33" s="2"/>
      <x:c r="D33" s="10" t="str">
        <x:v>Optional fares, mileage cost or accommodation, excluding hours above.</x:v>
      </x:c>
    </x:row>
    <x:row r="34" ht="28" customHeight="1">
      <x:c r="A34" s="2" t="str">
        <x:v>Equipment / software / other ($)</x:v>
      </x:c>
      <x:c r="B34" s="15" t="n">
        <x:v>0</x:v>
      </x:c>
      <x:c r="C34" s="2"/>
      <x:c r="D34" s="10" t="str">
        <x:v>Optional job-specific costs not counted elsewhere.</x:v>
      </x:c>
    </x:row>
    <x:row r="35" ht="34" customHeight="1">
      <x:c r="A35" s="2" t="str">
        <x:v>Business costs for this job ($)</x:v>
      </x:c>
      <x:c r="B35" s="15" t="n">
        <x:v>20</x:v>
      </x:c>
      <x:c r="C35" s="2"/>
      <x:c r="D35" s="10" t="str">
        <x:v>Optional allocated operating costs. Keep your allocation reasonable and consistent.</x:v>
      </x:c>
    </x:row>
    <x:row r="36" ht="28" customHeight="1">
      <x:c r="A36" s="2" t="str">
        <x:v>Planned customer price ($)</x:v>
      </x:c>
      <x:c r="B36" s="15" t="n">
        <x:v>350</x:v>
      </x:c>
      <x:c r="C36" s="2"/>
      <x:c r="D36" s="10" t="str">
        <x:v>Before sales tax and before the optional discount below.</x:v>
      </x:c>
    </x:row>
    <x:row r="37" ht="28" customHeight="1">
      <x:c r="A37" s="2" t="str">
        <x:v>Discount (%)</x:v>
      </x:c>
      <x:c r="B37" s="14" t="n">
        <x:v>0</x:v>
      </x:c>
      <x:c r="C37" s="2"/>
      <x:c r="D37" s="10" t="str">
        <x:v>Optional percentage reduction of the planned price.</x:v>
      </x:c>
    </x:row>
    <x:row r="38" ht="34" customHeight="1">
      <x:c r="A38" s="2" t="str">
        <x:v>Target remaining margin (%)</x:v>
      </x:c>
      <x:c r="B38" s="14" t="n">
        <x:v>0.3</x:v>
      </x:c>
      <x:c r="C38" s="2"/>
      <x:c r="D38" s="10" t="str">
        <x:v>Goal: remaining amount divided by price. Default 30%; change it to your own goal.</x:v>
      </x:c>
    </x:row>
    <x:row r="39" ht="28" customHeight="1">
      <x:c r="A39" s="2" t="str">
        <x:v>Processing fee (%)</x:v>
      </x:c>
      <x:c r="B39" s="14" t="n">
        <x:v>0</x:v>
      </x:c>
      <x:c r="C39" s="2"/>
      <x:c r="D39" s="10" t="str">
        <x:v>Optional actual fee assumption. 0 means excluded. Not a quoted provider fee.</x:v>
      </x:c>
    </x:row>
    <x:row r="40" ht="28" customHeight="1">
      <x:c r="A40" s="2" t="str">
        <x:v>Fixed processing fee ($)</x:v>
      </x:c>
      <x:c r="B40" s="15" t="n">
        <x:v>0</x:v>
      </x:c>
      <x:c r="C40" s="2"/>
      <x:c r="D40" s="10" t="str">
        <x:v>Optional fee per payment modeled once for this job.</x:v>
      </x:c>
    </x:row>
    <x:row r="41" ht="34" customHeight="1">
      <x:c r="A41" s="2" t="str">
        <x:v>Planning reserve (%)</x:v>
      </x:c>
      <x:c r="B41" s="14" t="n">
        <x:v>0</x:v>
      </x:c>
      <x:c r="C41" s="2"/>
      <x:c r="D41" s="10" t="str">
        <x:v>Optional allowance, not actual tax due or an actual refund. Do not deduct it twice.</x:v>
      </x:c>
    </x:row>
    <x:row r="42" ht="34" customHeight="1">
      <x:c r="A42" s="2" t="str">
        <x:v>Planned deposit ($)</x:v>
      </x:c>
      <x:c r="B42" s="15" t="n">
        <x:v>175</x:v>
      </x:c>
      <x:c r="C42" s="2"/>
      <x:c r="D42" s="10" t="str">
        <x:v>Optional cash-timing note only; it does not increase revenue or reduce costs.</x:v>
      </x:c>
    </x:row>
    <x:row r="43" ht="22" customHeight="1">
      <x:c r="A43" s="5" t="str">
        <x:v>Calculation trail</x:v>
      </x:c>
      <x:c r="B43" s="5"/>
      <x:c r="C43" s="2"/>
      <x:c r="D43" s="2"/>
    </x:row>
    <x:row r="44" ht="22" customHeight="1">
      <x:c r="A44" s="2" t="str">
        <x:v>Total modeled hours</x:v>
      </x:c>
      <x:c r="B44" s="16" t="n">
        <x:f>IF($B$50&lt;&gt;"Ready","Unavailable",SUM(B25:B27))</x:f>
        <x:v>4</x:v>
      </x:c>
      <x:c r="C44" s="2"/>
      <x:c r="D44" s="2"/>
    </x:row>
    <x:row r="45" ht="22" customHeight="1">
      <x:c r="A45" s="2" t="str">
        <x:v>Modeled labor cost</x:v>
      </x:c>
      <x:c r="B45" s="6" t="n">
        <x:f>IF($B$50&lt;&gt;"Ready","Unavailable",ROUND(B44*B28,2))</x:f>
        <x:v>100</x:v>
      </x:c>
      <x:c r="C45" s="2"/>
      <x:c r="D45" s="2"/>
    </x:row>
    <x:row r="46" ht="22" customHeight="1">
      <x:c r="A46" s="2" t="str">
        <x:v>Delivery costs before fees/reserve</x:v>
      </x:c>
      <x:c r="B46" s="6" t="n">
        <x:f>IF($B$50&lt;&gt;"Ready","Unavailable",ROUND(SUM(B31:B35)+B45,2))</x:f>
        <x:v>220</x:v>
      </x:c>
      <x:c r="C46" s="2"/>
      <x:c r="D46" s="2"/>
    </x:row>
    <x:row r="47" ht="22" customHeight="1">
      <x:c r="A47" s="2" t="str">
        <x:v>Percentage fee allowance</x:v>
      </x:c>
      <x:c r="B47" s="6" t="n">
        <x:f>IF($B$50&lt;&gt;"Ready","Unavailable",ROUND(B6*B39,2))</x:f>
        <x:v>0</x:v>
      </x:c>
      <x:c r="C47" s="2"/>
      <x:c r="D47" s="2"/>
    </x:row>
    <x:row r="48" ht="22" customHeight="1">
      <x:c r="A48" s="2" t="str">
        <x:v>Planning reserve allowance</x:v>
      </x:c>
      <x:c r="B48" s="6" t="n">
        <x:f>IF($B$50&lt;&gt;"Ready","Unavailable",ROUND(B6*B41,2))</x:f>
        <x:v>0</x:v>
      </x:c>
      <x:c r="C48" s="2"/>
      <x:c r="D48" s="2"/>
    </x:row>
    <x:row r="49" ht="22" customHeight="1">
      <x:c r="A49" s="2" t="str">
        <x:v>Deposit note (not a cost)</x:v>
      </x:c>
      <x:c r="B49" s="6" t="n">
        <x:f>IF(B50&lt;&gt;"Ready","Unavailable",IF(B42&gt;B6,"Deposit exceeds price",B42))</x:f>
        <x:v>175</x:v>
      </x:c>
      <x:c r="C49" s="2"/>
      <x:c r="D49" s="2"/>
    </x:row>
    <x:row r="50" ht="22" customHeight="1">
      <x:c r="A50" s="2" t="str">
        <x:v>Input check</x:v>
      </x:c>
      <x:c r="B50" s="2" t="str">
        <x:f>IF(OR(B20="",COUNT(B25,B28,B31,B36,B38)&lt;5),"More information is needed",IF(COUNT(B25:B28,B31:B42)&lt;&gt;COUNTA(B25:B28,B31:B42),"Invalid numeric input",IF(OR(MIN(B25:B28,B31:B42)&lt;0,B37&gt;=1,B38+B39+B41&gt;=1),"Invalid assumptions","Ready")))</x:f>
        <x:v>Ready</x:v>
      </x:c>
      <x:c r="C50" s="2"/>
      <x:c r="D50" s="2" t="str">
        <x:v>Blank required fields are unavailable; explicit zero is valid.</x:v>
      </x:c>
    </x:row>
    <x:row r="51" ht="22" customHeight="1">
      <x:c r="A51" s="2"/>
      <x:c r="B51" s="2"/>
      <x:c r="C51" s="2"/>
      <x:c r="D51" s="2"/>
    </x:row>
    <x:row r="52" ht="22" customHeight="1">
      <x:c r="A52" s="2"/>
      <x:c r="B52" s="2"/>
      <x:c r="C52" s="2"/>
      <x:c r="D52" s="2"/>
    </x:row>
  </x:sheetData>
  <x:conditionalFormatting sqref="B8:B8">
    <x:cfRule type="cellIs" dxfId="1" priority="1" operator="lessThan">
      <x:formula>0</x:formula>
    </x:cfRule>
  </x:conditionalFormatting>
  <x:dataValidations count="16">
    <x:dataValidation type="decimal" operator="between" sqref="B25">
      <x:formula1>0</x:formula1>
      <x:formula2>1000000</x:formula2>
    </x:dataValidation>
    <x:dataValidation type="decimal" operator="between" sqref="B26">
      <x:formula1>0</x:formula1>
      <x:formula2>1000000</x:formula2>
    </x:dataValidation>
    <x:dataValidation type="decimal" operator="between" sqref="B27">
      <x:formula1>0</x:formula1>
      <x:formula2>1000000</x:formula2>
    </x:dataValidation>
    <x:dataValidation type="decimal" operator="between" sqref="B28">
      <x:formula1>0</x:formula1>
      <x:formula2>1000000</x:formula2>
    </x:dataValidation>
    <x:dataValidation type="decimal" operator="between" sqref="B31">
      <x:formula1>0</x:formula1>
      <x:formula2>1000000</x:formula2>
    </x:dataValidation>
    <x:dataValidation type="decimal" operator="between" sqref="B32">
      <x:formula1>0</x:formula1>
      <x:formula2>1000000</x:formula2>
    </x:dataValidation>
    <x:dataValidation type="decimal" operator="between" sqref="B33">
      <x:formula1>0</x:formula1>
      <x:formula2>1000000</x:formula2>
    </x:dataValidation>
    <x:dataValidation type="decimal" operator="between" sqref="B34">
      <x:formula1>0</x:formula1>
      <x:formula2>1000000</x:formula2>
    </x:dataValidation>
    <x:dataValidation type="decimal" operator="between" sqref="B35">
      <x:formula1>0</x:formula1>
      <x:formula2>1000000</x:formula2>
    </x:dataValidation>
    <x:dataValidation type="decimal" operator="between" sqref="B36">
      <x:formula1>0</x:formula1>
      <x:formula2>1000000</x:formula2>
    </x:dataValidation>
    <x:dataValidation type="decimal" operator="between" sqref="B40">
      <x:formula1>0</x:formula1>
      <x:formula2>1000000</x:formula2>
    </x:dataValidation>
    <x:dataValidation type="decimal" operator="between" sqref="B42">
      <x:formula1>0</x:formula1>
      <x:formula2>1000000</x:formula2>
    </x:dataValidation>
    <x:dataValidation type="decimal" operator="between" sqref="B37">
      <x:formula1>0</x:formula1>
      <x:formula2>0.9999</x:formula2>
    </x:dataValidation>
    <x:dataValidation type="decimal" operator="between" sqref="B38">
      <x:formula1>0</x:formula1>
      <x:formula2>0.9999</x:formula2>
    </x:dataValidation>
    <x:dataValidation type="decimal" operator="between" sqref="B39">
      <x:formula1>0</x:formula1>
      <x:formula2>0.9999</x:formula2>
    </x:dataValidation>
    <x:dataValidation type="decimal" operator="between" sqref="B41">
      <x:formula1>0</x:formula1>
      <x:formula2>0.9999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7" hidden="0" customWidth="1"/>
    <x:col min="3" max="3" width="27" hidden="0" customWidth="1"/>
    <x:col min="4" max="4" width="27" hidden="0" customWidth="1"/>
  </x:cols>
  <x:sheetData>
    <x:row r="1" ht="22" customHeight="1">
      <x:c r="A1" s="2"/>
      <x:c r="B1" s="2"/>
      <x:c r="C1" s="2"/>
      <x:c r="D1" s="2"/>
    </x:row>
    <x:row r="2" ht="30" customHeight="1">
      <x:c r="A2" s="3" t="str">
        <x:v>Three ways this job could go</x:v>
      </x:c>
      <x:c r="B2" s="2"/>
      <x:c r="C2" s="2"/>
      <x:c r="D2" s="2"/>
    </x:row>
    <x:row r="3" ht="22" customHeight="1">
      <x:c r="A3" s="2" t="str">
        <x:v>Start with Your job; compare the same defined costs. Amber cells can replace linked assumptions.</x:v>
      </x:c>
      <x:c r="B3" s="2"/>
      <x:c r="C3" s="2"/>
      <x:c r="D3" s="2"/>
    </x:row>
    <x:row r="4" ht="36" customHeight="1">
      <x:c r="A4" s="17" t="str">
        <x:v>Assumption / result</x:v>
      </x:c>
      <x:c r="B4" s="17" t="str">
        <x:v>Current plan</x:v>
      </x:c>
      <x:c r="C4" s="17" t="str">
        <x:v>Slower / higher cost</x:v>
      </x:c>
      <x:c r="D4" s="17" t="str">
        <x:v>Better price / less scope</x:v>
      </x:c>
    </x:row>
    <x:row r="5" ht="22" customHeight="1">
      <x:c r="A5" s="2" t="str">
        <x:v>Price after discount</x:v>
      </x:c>
      <x:c r="B5" s="19" t="str">
        <x:f>IF('Your job'!$B$50&lt;&gt;"Ready","Unavailable",'Your job'!B6)</x:f>
        <x:v>Unavailable</x:v>
      </x:c>
      <x:c r="C5" s="15" t="str">
        <x:f>IF('Your job'!$B$50&lt;&gt;"Ready","Unavailable",B5)</x:f>
        <x:v>Unavailable</x:v>
      </x:c>
      <x:c r="D5" s="15" t="str">
        <x:f>IF('Your job'!$B$50&lt;&gt;"Ready","Unavailable",ROUND(B5*1.1,2))</x:f>
        <x:v>Unavailable</x:v>
      </x:c>
    </x:row>
    <x:row r="6" ht="22" customHeight="1">
      <x:c r="A6" s="2" t="str">
        <x:v>Total modeled hours</x:v>
      </x:c>
      <x:c r="B6" s="18" t="str">
        <x:f>IF('Your job'!$B$50&lt;&gt;"Ready","Unavailable",'Your job'!B44)</x:f>
        <x:v>Unavailable</x:v>
      </x:c>
      <x:c r="C6" s="12" t="str">
        <x:f>IF('Your job'!$B$50&lt;&gt;"Ready","Unavailable",B6+2)</x:f>
        <x:v>Unavailable</x:v>
      </x:c>
      <x:c r="D6" s="12" t="str">
        <x:f>IF('Your job'!$B$50&lt;&gt;"Ready","Unavailable",B6)</x:f>
        <x:v>Unavailable</x:v>
      </x:c>
    </x:row>
    <x:row r="7" ht="22" customHeight="1">
      <x:c r="A7" s="2" t="str">
        <x:v>Hourly cost</x:v>
      </x:c>
      <x:c r="B7" s="19" t="str">
        <x:f>IF('Your job'!$B$50&lt;&gt;"Ready","Unavailable",'Your job'!B28)</x:f>
        <x:v>Unavailable</x:v>
      </x:c>
      <x:c r="C7" s="15" t="str">
        <x:f>IF('Your job'!$B$50&lt;&gt;"Ready","Unavailable",B7)</x:f>
        <x:v>Unavailable</x:v>
      </x:c>
      <x:c r="D7" s="15" t="str">
        <x:f>IF('Your job'!$B$50&lt;&gt;"Ready","Unavailable",B7)</x:f>
        <x:v>Unavailable</x:v>
      </x:c>
    </x:row>
    <x:row r="8" ht="22" customHeight="1">
      <x:c r="A8" s="2" t="str">
        <x:v>Other delivery costs</x:v>
      </x:c>
      <x:c r="B8" s="19" t="str">
        <x:f>IF('Your job'!$B$50&lt;&gt;"Ready","Unavailable",SUM('Your job'!B31:B35))</x:f>
        <x:v>Unavailable</x:v>
      </x:c>
      <x:c r="C8" s="15" t="str">
        <x:f>IF('Your job'!$B$50&lt;&gt;"Ready","Unavailable",B8)</x:f>
        <x:v>Unavailable</x:v>
      </x:c>
      <x:c r="D8" s="15" t="str">
        <x:f>IF('Your job'!$B$50&lt;&gt;"Ready","Unavailable",B8)</x:f>
        <x:v>Unavailable</x:v>
      </x:c>
    </x:row>
    <x:row r="9" ht="22" customHeight="1">
      <x:c r="A9" s="2" t="str">
        <x:v>Processing fee rate</x:v>
      </x:c>
      <x:c r="B9" s="20" t="str">
        <x:f>IF('Your job'!$B$50&lt;&gt;"Ready","Unavailable",'Your job'!B39)</x:f>
        <x:v>Unavailable</x:v>
      </x:c>
      <x:c r="C9" s="14" t="str">
        <x:f>IF('Your job'!$B$50&lt;&gt;"Ready","Unavailable",B9)</x:f>
        <x:v>Unavailable</x:v>
      </x:c>
      <x:c r="D9" s="14" t="str">
        <x:f>IF('Your job'!$B$50&lt;&gt;"Ready","Unavailable",B9)</x:f>
        <x:v>Unavailable</x:v>
      </x:c>
    </x:row>
    <x:row r="10" ht="22" customHeight="1">
      <x:c r="A10" s="2" t="str">
        <x:v>Fixed processing fee</x:v>
      </x:c>
      <x:c r="B10" s="19" t="str">
        <x:f>IF('Your job'!$B$50&lt;&gt;"Ready","Unavailable",'Your job'!B40)</x:f>
        <x:v>Unavailable</x:v>
      </x:c>
      <x:c r="C10" s="15" t="str">
        <x:f>IF('Your job'!$B$50&lt;&gt;"Ready","Unavailable",B10)</x:f>
        <x:v>Unavailable</x:v>
      </x:c>
      <x:c r="D10" s="15" t="str">
        <x:f>IF('Your job'!$B$50&lt;&gt;"Ready","Unavailable",B10)</x:f>
        <x:v>Unavailable</x:v>
      </x:c>
    </x:row>
    <x:row r="11" ht="22" customHeight="1">
      <x:c r="A11" s="2" t="str">
        <x:v>Planning reserve rate</x:v>
      </x:c>
      <x:c r="B11" s="20" t="str">
        <x:f>IF('Your job'!$B$50&lt;&gt;"Ready","Unavailable",'Your job'!B41)</x:f>
        <x:v>Unavailable</x:v>
      </x:c>
      <x:c r="C11" s="14" t="str">
        <x:f>IF('Your job'!$B$50&lt;&gt;"Ready","Unavailable",B11)</x:f>
        <x:v>Unavailable</x:v>
      </x:c>
      <x:c r="D11" s="14" t="str">
        <x:f>IF('Your job'!$B$50&lt;&gt;"Ready","Unavailable",B11)</x:f>
        <x:v>Unavailable</x:v>
      </x:c>
    </x:row>
    <x:row r="12" ht="22" customHeight="1">
      <x:c r="A12" s="2" t="str">
        <x:v>Target margin</x:v>
      </x:c>
      <x:c r="B12" s="20" t="str">
        <x:f>IF('Your job'!$B$50&lt;&gt;"Ready","Unavailable",'Your job'!B38)</x:f>
        <x:v>Unavailable</x:v>
      </x:c>
      <x:c r="C12" s="14" t="str">
        <x:f>IF('Your job'!$B$50&lt;&gt;"Ready","Unavailable",B12)</x:f>
        <x:v>Unavailable</x:v>
      </x:c>
      <x:c r="D12" s="14" t="str">
        <x:f>IF('Your job'!$B$50&lt;&gt;"Ready","Unavailable",B12)</x:f>
        <x:v>Unavailable</x:v>
      </x:c>
    </x:row>
    <x:row r="13" ht="22" customHeight="1">
      <x:c r="A13" s="2"/>
      <x:c r="B13" s="2"/>
      <x:c r="C13" s="2"/>
      <x:c r="D13" s="2"/>
    </x:row>
    <x:row r="14" ht="22" customHeight="1">
      <x:c r="A14" s="2" t="str">
        <x:v>Input check</x:v>
      </x:c>
      <x:c r="B14" s="8" t="str">
        <x:f>IF(COUNT(B5:B12)&lt;&gt;8,"More information is needed",IF(OR(MIN(B5:B12)&lt;0,B9+B11+B12&gt;=1),"Invalid assumptions","Ready"))</x:f>
        <x:v>More information is needed</x:v>
      </x:c>
      <x:c r="C14" s="8" t="str">
        <x:f>IF(COUNT(C5:C12)&lt;&gt;8,"More information is needed",IF(OR(MIN(C5:C12)&lt;0,C9+C11+C12&gt;=1),"Invalid assumptions","Ready"))</x:f>
        <x:v>More information is needed</x:v>
      </x:c>
      <x:c r="D14" s="8" t="str">
        <x:f>IF(COUNT(D5:D12)&lt;&gt;8,"More information is needed",IF(OR(MIN(D5:D12)&lt;0,D9+D11+D12&gt;=1),"Invalid assumptions","Ready"))</x:f>
        <x:v>More information is needed</x:v>
      </x:c>
    </x:row>
    <x:row r="15" ht="22" customHeight="1">
      <x:c r="A15" s="2"/>
      <x:c r="B15" s="2"/>
      <x:c r="C15" s="2"/>
      <x:c r="D15" s="2"/>
    </x:row>
    <x:row r="16" ht="22" customHeight="1">
      <x:c r="A16" s="2" t="str">
        <x:v>Estimated total costs</x:v>
      </x:c>
      <x:c r="B16" s="6" t="str">
        <x:f>IF(B14&lt;&gt;"Ready","Unavailable",ROUND(B6*B7,2)+B8+ROUND(B5*B9,2)+B10+ROUND(B5*B11,2))</x:f>
        <x:v>Unavailable</x:v>
      </x:c>
      <x:c r="C16" s="6" t="str">
        <x:f>IF(C14&lt;&gt;"Ready","Unavailable",ROUND(C6*C7,2)+C8+ROUND(C5*C9,2)+C10+ROUND(C5*C11,2))</x:f>
        <x:v>Unavailable</x:v>
      </x:c>
      <x:c r="D16" s="6" t="str">
        <x:f>IF(D14&lt;&gt;"Ready","Unavailable",ROUND(D6*D7,2)+D8+ROUND(D5*D9,2)+D10+ROUND(D5*D11,2))</x:f>
        <x:v>Unavailable</x:v>
      </x:c>
    </x:row>
    <x:row r="17" ht="22" customHeight="1">
      <x:c r="A17" s="2" t="str">
        <x:v>Estimated remaining</x:v>
      </x:c>
      <x:c r="B17" s="6" t="str">
        <x:f>IF(B14&lt;&gt;"Ready","Unavailable",B5-B16)</x:f>
        <x:v>Unavailable</x:v>
      </x:c>
      <x:c r="C17" s="6" t="str">
        <x:f>IF(C14&lt;&gt;"Ready","Unavailable",C5-C16)</x:f>
        <x:v>Unavailable</x:v>
      </x:c>
      <x:c r="D17" s="6" t="str">
        <x:f>IF(D14&lt;&gt;"Ready","Unavailable",D5-D16)</x:f>
        <x:v>Unavailable</x:v>
      </x:c>
    </x:row>
    <x:row r="18" ht="22" customHeight="1">
      <x:c r="A18" s="2" t="str">
        <x:v>Remaining margin</x:v>
      </x:c>
      <x:c r="B18" s="7" t="str">
        <x:f>IF(B14&lt;&gt;"Ready","Unavailable",IF(B5=0,"n.a.",B17/B5))</x:f>
        <x:v>Unavailable</x:v>
      </x:c>
      <x:c r="C18" s="7" t="str">
        <x:f>IF(C14&lt;&gt;"Ready","Unavailable",IF(C5=0,"n.a.",C17/C5))</x:f>
        <x:v>Unavailable</x:v>
      </x:c>
      <x:c r="D18" s="7" t="str">
        <x:f>IF(D14&lt;&gt;"Ready","Unavailable",IF(D5=0,"n.a.",D17/D5))</x:f>
        <x:v>Unavailable</x:v>
      </x:c>
    </x:row>
    <x:row r="19" ht="22" customHeight="1">
      <x:c r="A19" s="2" t="str">
        <x:v>Goal minimum price</x:v>
      </x:c>
      <x:c r="B19" s="6" t="str">
        <x:f>IF(B14&lt;&gt;"Ready","Unavailable",ROUNDUP((ROUND(B6*B7,2)+B8+B10)/(1-B9-B11-B12),2))</x:f>
        <x:v>Unavailable</x:v>
      </x:c>
      <x:c r="C19" s="6" t="str">
        <x:f>IF(C14&lt;&gt;"Ready","Unavailable",ROUNDUP((ROUND(C6*C7,2)+C8+C10)/(1-C9-C11-C12),2))</x:f>
        <x:v>Unavailable</x:v>
      </x:c>
      <x:c r="D19" s="6" t="str">
        <x:f>IF(D14&lt;&gt;"Ready","Unavailable",ROUNDUP((ROUND(D6*D7,2)+D8+D10)/(1-D9-D11-D12),2))</x:f>
        <x:v>Unavailable</x:v>
      </x:c>
    </x:row>
    <x:row r="20" ht="22" customHeight="1">
      <x:c r="A20" s="2"/>
      <x:c r="B20" s="2"/>
      <x:c r="C20" s="2"/>
      <x:c r="D20" s="2"/>
    </x:row>
    <x:row r="21" ht="22" customHeight="1">
      <x:c r="A21" s="2" t="str">
        <x:v>Default alternative: add 2 hours; alternative: increase price 10%. These are fictional changes, not predictions.</x:v>
      </x:c>
      <x:c r="B21" s="2"/>
      <x:c r="C21" s="2"/>
      <x:c r="D21" s="2"/>
    </x:row>
    <x:row r="22" ht="22" customHeight="1">
      <x:c r="A22" s="2" t="str">
        <x:v>No saved scenario library or project history. Keep a working copy; restore defaults from the original.</x:v>
      </x:c>
      <x:c r="B22" s="2"/>
      <x:c r="C22" s="2"/>
      <x:c r="D22" s="2"/>
    </x:row>
    <x:row r="23" ht="22" customHeight="1">
      <x:c r="A23" s="2"/>
      <x:c r="B23" s="2"/>
      <x:c r="C23" s="2"/>
      <x:c r="D23" s="2"/>
    </x:row>
    <x:row r="24" ht="22" customHeight="1">
      <x:c r="A24" s="2"/>
      <x:c r="B24" s="2"/>
      <x:c r="C24" s="2"/>
      <x:c r="D24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06" hidden="0" customWidth="1"/>
  </x:cols>
  <x:sheetData>
    <x:row r="1" ht="22" customHeight="1">
      <x:c r="A1" s="2"/>
      <x:c r="B1" s="2"/>
    </x:row>
    <x:row r="2" ht="30" customHeight="1">
      <x:c r="A2" s="3" t="str">
        <x:v>Use your free Starter Pack</x:v>
      </x:c>
      <x:c r="B2" s="2"/>
    </x:row>
    <x:row r="3" ht="22" customHeight="1">
      <x:c r="A3" s="2" t="str">
        <x:v>Version 1.0.0. USD. No signup or payment.</x:v>
      </x:c>
      <x:c r="B3" s="2"/>
    </x:row>
    <x:row r="4" ht="22" customHeight="1">
      <x:c r="A4" s="2"/>
      <x:c r="B4" s="2"/>
    </x:row>
    <x:row r="5" ht="42" customHeight="1">
      <x:c r="A5" s="21" t="str">
        <x:v>Quick start</x:v>
      </x:c>
      <x:c r="B5" s="8" t="str">
        <x:v>1. Open Your job. Name the job and enter hours, hourly cost, direct costs and planned price. Enter 0 for none. Review optional costs and your goal.</x:v>
      </x:c>
    </x:row>
    <x:row r="6" ht="42" customHeight="1">
      <x:c r="A6" s="21" t="str">
        <x:v>Read your result</x:v>
      </x:c>
      <x:c r="B6" s="8" t="str">
        <x:v>2. Review the remaining amount and warning. The full calculation trail is below the inputs. Compare the three scenarios before sending your quote.</x:v>
      </x:c>
    </x:row>
    <x:row r="7" ht="42" customHeight="1">
      <x:c r="A7" s="21" t="str">
        <x:v>Keep your work</x:v>
      </x:c>
      <x:c r="B7" s="8" t="str">
        <x:v>3. Save a local working copy. This is a one-job template, not a multi-project tracker. Keep your original and backups.</x:v>
      </x:c>
    </x:row>
    <x:row r="8" ht="54" customHeight="1">
      <x:c r="A8" s="21" t="str">
        <x:v>Fictional example</x:v>
      </x:c>
      <x:c r="B8" s="8" t="str">
        <x:v>Worked example: 4 hours at $25, $100 materials and $20 allocated business costs total $220. At a $350 planned price, $130 remains: 37.1%. A 30% goal suggests a $314.29 minimum before omitted obligations.</x:v>
      </x:c>
    </x:row>
    <x:row r="9" ht="54" customHeight="1">
      <x:c r="A9" s="21" t="str">
        <x:v>Scenario limits</x:v>
      </x:c>
      <x:c r="B9" s="8" t="str">
        <x:v>Three lightweight alternatives are included. Current plan links to Your job; the other two start linked to it. Edit their amber cells to try changed assumptions. Overwriting a formula removes that link; restore it from a clean copy.</x:v>
      </x:c>
    </x:row>
    <x:row r="10" ht="42" customHeight="1">
      <x:c r="A10" s="21" t="str">
        <x:v>Formula: labor</x:v>
      </x:c>
      <x:c r="B10" s="8" t="str">
        <x:v>Total modeled hours = job hours + travel/meetings/admin hours + contingency hours. Labor cost = total modeled hours × hourly cost, rounded to cents.</x:v>
      </x:c>
    </x:row>
    <x:row r="11" ht="54" customHeight="1">
      <x:c r="A11" s="21" t="str">
        <x:v>Formula: price and costs</x:v>
      </x:c>
      <x:c r="B11" s="8" t="str">
        <x:v>Customer price = planned price × (1 − discount), rounded to cents. Delivery cost = labor + materials + helpers + travel + other + allocated business costs.</x:v>
      </x:c>
    </x:row>
    <x:row r="12" ht="54" customHeight="1">
      <x:c r="A12" s="21" t="str">
        <x:v>Formula: remaining</x:v>
      </x:c>
      <x:c r="B12" s="8" t="str">
        <x:v>Total estimated costs = delivery cost + percentage processing fee + fixed processing fee + planning reserve. Each percentage allowance is rounded independently to cents. Remaining = customer price − total estimated costs.</x:v>
      </x:c>
    </x:row>
    <x:row r="13" ht="66" customHeight="1">
      <x:c r="A13" s="21" t="str">
        <x:v>Formula: goals</x:v>
      </x:c>
      <x:c r="B13" s="8" t="str">
        <x:v>Margin = remaining ÷ customer price. Break-even = (delivery costs + fixed fee) ÷ (1 − fee rate − reserve rate). Goal price = same numerator ÷ (1 − goal margin − fee rate − reserve rate), rounded up to cents. Actual displayed margin can differ slightly because fees round independently.</x:v>
      </x:c>
    </x:row>
    <x:row r="14" ht="54" customHeight="1">
      <x:c r="A14" s="21" t="str">
        <x:v>Formula: hourly result</x:v>
      </x:c>
      <x:c r="B14" s="8" t="str">
        <x:v>Remaining per modeled hour = remaining ÷ total modeled hours. Your labor cost has already been deducted. This is not a wage or a cash-flow forecast. Zero hours or zero price produces n.a. for the corresponding ratio.</x:v>
      </x:c>
    </x:row>
    <x:row r="15" ht="54" customHeight="1">
      <x:c r="A15" s="21" t="str">
        <x:v>Missing versus zero</x:v>
      </x:c>
      <x:c r="B15" s="8" t="str">
        <x:v>Required fields left blank produce unavailable results. 0 is a valid explicit assumption. Negative inputs, unsupported text, discount ≥100%, or goal + fee + reserve ≥100% are invalid. Do not bypass validation.</x:v>
      </x:c>
    </x:row>
    <x:row r="16" ht="42" customHeight="1">
      <x:c r="A16" s="21" t="str">
        <x:v>Checklist: scope</x:v>
      </x:c>
      <x:c r="B16" s="8" t="str">
        <x:v>Write scope, deliverables, exclusions and revision limits. Include meetings, travel, administration and expected rework.</x:v>
      </x:c>
    </x:row>
    <x:row r="17" ht="54" customHeight="1">
      <x:c r="A17" s="21" t="str">
        <x:v>Checklist: commercial terms</x:v>
      </x:c>
      <x:c r="B17" s="8" t="str">
        <x:v>Confirm costs and fees; agree payment timing, deposit/milestones, acceptance and change requests. Confirm tax obligations separately before sending a quote.</x:v>
      </x:c>
    </x:row>
    <x:row r="18" ht="42" customHeight="1">
      <x:c r="A18" s="21" t="str">
        <x:v>Glossary: remaining amount</x:v>
      </x:c>
      <x:c r="B18" s="8" t="str">
        <x:v>Estimated money left after only the modeled costs and allowances. It is not verified profit, tax advice or guaranteed earnings.</x:v>
      </x:c>
    </x:row>
    <x:row r="19" ht="42" customHeight="1">
      <x:c r="A19" s="21" t="str">
        <x:v>Glossary: margin / markup</x:v>
      </x:c>
      <x:c r="B19" s="8" t="str">
        <x:v>Margin divides remaining amount by selling price. Markup divides the uplift by cost. $100 cost plus 30% markup gives $130, not a 30% margin.</x:v>
      </x:c>
    </x:row>
    <x:row r="20" ht="42" customHeight="1">
      <x:c r="A20" s="21" t="str">
        <x:v>Glossary: business costs</x:v>
      </x:c>
      <x:c r="B20" s="8" t="str">
        <x:v>A fair share of operating costs assigned to this job. Do not also include the same costs in hourly cost or another expense.</x:v>
      </x:c>
    </x:row>
    <x:row r="21" ht="42" customHeight="1">
      <x:c r="A21" s="21" t="str">
        <x:v>Glossary: break-even</x:v>
      </x:c>
      <x:c r="B21" s="8" t="str">
        <x:v>The modeled customer price at which remaining is approximately zero. Omitted costs can make the real break-even higher.</x:v>
      </x:c>
    </x:row>
    <x:row r="22" ht="54" customHeight="1">
      <x:c r="A22" s="21" t="str">
        <x:v>Free tools</x:v>
      </x:c>
      <x:c r="B22" s="8" t="str">
        <x:v>One job; blank template; one complete fictional example; three lightweight scenarios; a local working copy; checklist, glossary and portable guide. No result is hidden behind payment.</x:v>
      </x:c>
    </x:row>
    <x:row r="23" ht="54" customHeight="1">
      <x:c r="A23" s="21" t="str">
        <x:v>Intended Quote Kit</x:v>
      </x:c>
      <x:c r="B23" s="8" t="str">
        <x:v>Proposed $15 USD once, plus applicable tax. NOT FOR SALE. Candidate workbook includes a reusable 100-row extendable tracker, planned-versus-actual contribution, three fictional examples, guide/license and offline project records.</x:v>
      </x:c>
    </x:row>
    <x:row r="24" ht="54" customHeight="1">
      <x:c r="A24" s="21" t="str">
        <x:v>Intended paid support</x:v>
      </x:c>
      <x:c r="B24" s="8" t="str">
        <x:v>Candidate terms: single-business version 1 files; 30 days setup/file support and 12 calendar months purchase recovery. Terms, certification and hosted delivery must pass before sale. No guaranteed future updates.</x:v>
      </x:c>
    </x:row>
    <x:row r="25" ht="66" customHeight="1">
      <x:c r="A25" s="21" t="str">
        <x:v>Not included in the $15 offer</x:v>
      </x:c>
      <x:c r="B25" s="8" t="str">
        <x:v>Team access, cloud sync, integrations, recurring automation, unlimited project cloud history, industry packs and separate advanced scenario/cash/capacity dashboards are not certified parts of version 1. Do not assume every roadmap idea is included.</x:v>
      </x:c>
    </x:row>
    <x:row r="26" ht="54" customHeight="1">
      <x:c r="A26" s="21" t="str">
        <x:v>Excel</x:v>
      </x:c>
      <x:c r="B26" s="8" t="str">
        <x:v>Use the .xlsx workbook in desktop Microsoft Excel. Excel is not included. Current native test coverage is documented separately; no exhaustive compatibility or print certification is claimed.</x:v>
      </x:c>
    </x:row>
    <x:row r="27" ht="54" customHeight="1">
      <x:c r="A27" s="21" t="str">
        <x:v>Google Sheets</x:v>
      </x:c>
      <x:c r="B27" s="8" t="str">
        <x:v>Upload Clariro-Starter-Pack.xlsx to Google Drive. Choose Open with Google Sheets. Save as Google Sheets if desired. Check inputs, formulas and the $350 / $220 / $130 example after conversion. Import is instructed, not platform-tested here.</x:v>
      </x:c>
    </x:row>
    <x:row r="28" ht="54" customHeight="1">
      <x:c r="A28" s="21" t="str">
        <x:v>Apple Numbers</x:v>
      </x:c>
      <x:c r="B28" s="8" t="str">
        <x:v>Open the .xlsx in Numbers. Review any import warnings, formulas and formatting, then verify the worked example before use. Native Numbers execution is not certified here.</x:v>
      </x:c>
    </x:row>
    <x:row r="29" ht="54" customHeight="1">
      <x:c r="A29" s="21" t="str">
        <x:v>LibreOffice / OpenOffice</x:v>
      </x:c>
      <x:c r="B29" s="8" t="str">
        <x:v>Open the .xlsx in Calc. Check the worked example and all warnings before relying on it. Native Calc/OpenOffice execution is not certified here. No untested .ods file is supplied.</x:v>
      </x:c>
    </x:row>
    <x:row r="30" ht="54" customHeight="1">
      <x:c r="A30" s="21" t="str">
        <x:v>CSV and Google Docs</x:v>
      </x:c>
      <x:c r="B30" s="8" t="str">
        <x:v>CSV is an input starter with no formulas, formatting or automatic results. Google Docs can display/edit the text guide; it is not the spreadsheet calculator. Use Excel/Sheets/Numbers/Calc for .xlsx.</x:v>
      </x:c>
    </x:row>
    <x:row r="31" ht="54" customHeight="1">
      <x:c r="A31" s="21" t="str">
        <x:v>Offline browser tool</x:v>
      </x:c>
      <x:c r="B31" s="8" t="str">
        <x:v>Open Clariro-Offline-Starter.html. Calculation works without a service. Save one current job locally where supported, export JSON and test restore. Local-file storage varies; a private JSON backup is more portable.</x:v>
      </x:c>
    </x:row>
    <x:row r="32" ht="66" customHeight="1">
      <x:c r="A32" s="21" t="str">
        <x:v>Privacy and use</x:v>
      </x:c>
      <x:c r="B32" s="8" t="str">
        <x:v>No account or credit card is needed. Offline records stay on your device unless you share a backup. Keep backup files private; they are not encrypted. Educational estimates do not determine legal, tax, accounting or professional obligations.</x:v>
      </x:c>
    </x:row>
    <x:row r="33" ht="54" customHeight="1">
      <x:c r="A33" s="21" t="str">
        <x:v>Version and changelog</x:v>
      </x:c>
      <x:c r="B33" s="8" t="str">
        <x:v>Starter Pack 1.0.0, 2026-10-18: expanded complete one-job calculator, fictional example, three alternatives, portable guide and honest import notes. This does not replace or modify previous paid files.</x:v>
      </x:c>
    </x:row>
    <x:row r="34" ht="22" customHeight="1">
      <x:c r="A34" s="2"/>
      <x:c r="B34" s="2"/>
    </x:row>
  </x:sheetData>
  <x:pageMargins left="0.7" right="0.7" top="0.75" bottom="0.75" header="0.3" footer="0.3"/>
</x:worksheet>
</file>